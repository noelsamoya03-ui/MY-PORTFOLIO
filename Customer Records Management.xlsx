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8d10f24f6416a5/Documents/"/>
    </mc:Choice>
  </mc:AlternateContent>
  <xr:revisionPtr revIDLastSave="1" documentId="8_{7E1E4440-AA90-4336-8824-7909AB13C5E7}" xr6:coauthVersionLast="47" xr6:coauthVersionMax="47" xr10:uidLastSave="{A6114AD4-8FC4-4F0D-8013-970ED7D01096}"/>
  <bookViews>
    <workbookView xWindow="-110" yWindow="-110" windowWidth="19420" windowHeight="10300" xr2:uid="{42D1351B-6A68-4685-AA4D-0B505DBEC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B12" i="1"/>
  <c r="B10" i="1"/>
  <c r="B9" i="1"/>
  <c r="G3" i="1"/>
  <c r="G4" i="1"/>
  <c r="G5" i="1"/>
  <c r="G6" i="1"/>
  <c r="G2" i="1"/>
  <c r="B11" i="1" l="1"/>
</calcChain>
</file>

<file path=xl/sharedStrings.xml><?xml version="1.0" encoding="utf-8"?>
<sst xmlns="http://schemas.openxmlformats.org/spreadsheetml/2006/main" count="28" uniqueCount="28">
  <si>
    <t>Customer ID</t>
  </si>
  <si>
    <t xml:space="preserve">Customer Name </t>
  </si>
  <si>
    <t>Phone Number</t>
  </si>
  <si>
    <t>Service Requested</t>
  </si>
  <si>
    <t>Amount(KSh)</t>
  </si>
  <si>
    <t>Amount Paid(KSh)</t>
  </si>
  <si>
    <t>Balance(KSh)</t>
  </si>
  <si>
    <t>Payment Status</t>
  </si>
  <si>
    <t>C001</t>
  </si>
  <si>
    <t>C002</t>
  </si>
  <si>
    <t>C003</t>
  </si>
  <si>
    <t>C004</t>
  </si>
  <si>
    <t>C005</t>
  </si>
  <si>
    <t>David Mwangi</t>
  </si>
  <si>
    <t>Faith Wanjiku</t>
  </si>
  <si>
    <t>Kevin Otieno</t>
  </si>
  <si>
    <t>Mary Chebet</t>
  </si>
  <si>
    <t>Brian Kiptoo</t>
  </si>
  <si>
    <t>Phone Accessories</t>
  </si>
  <si>
    <t>Screen protector</t>
  </si>
  <si>
    <t>Phone Cover</t>
  </si>
  <si>
    <t>Phone Charger</t>
  </si>
  <si>
    <t>Earphones</t>
  </si>
  <si>
    <t>PAYMENT SUMMARY</t>
  </si>
  <si>
    <t xml:space="preserve">Total Amount Charged </t>
  </si>
  <si>
    <t>Total payment Received</t>
  </si>
  <si>
    <t>Total outstanding Balance</t>
  </si>
  <si>
    <t>Number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</si>
</sst>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7D1B4-0478-4315-89EB-678B0BEA856A}" name="Table1" displayName="Table1" ref="A1:H6" totalsRowShown="0" headerRowDxfId="21" headerRowBorderDxfId="22" tableBorderDxfId="23">
  <autoFilter ref="A1:H6" xr:uid="{EFF7D1B4-0478-4315-89EB-678B0BEA856A}"/>
  <tableColumns count="8">
    <tableColumn id="1" xr3:uid="{F6232BE5-A5DF-4A5A-B091-DD56C66EAEF8}" name="Customer ID"/>
    <tableColumn id="2" xr3:uid="{B567B2BD-33CC-467D-8AB6-62B95328035A}" name="Customer Name "/>
    <tableColumn id="3" xr3:uid="{3E2D51DA-5C3E-4D71-A8F0-A5C8FFE87B27}" name="Phone Number"/>
    <tableColumn id="4" xr3:uid="{E50DFAA4-E078-48AF-B70C-397F9D479074}" name="Service Requested"/>
    <tableColumn id="5" xr3:uid="{4F56F065-5CBB-43A2-BCA7-8E95D1DBC993}" name="Amount(KSh)"/>
    <tableColumn id="6" xr3:uid="{C5214254-241F-4E1F-BAC8-6D69F8C72C76}" name="Amount Paid(KSh)"/>
    <tableColumn id="7" xr3:uid="{D95A1E70-D2E7-48B5-833E-14695E9FDA47}" name="Balance(KSh)">
      <calculatedColumnFormula>E2-F2</calculatedColumnFormula>
    </tableColumn>
    <tableColumn id="8" xr3:uid="{1AF159A9-A4C9-45C0-BA27-D986D3507874}" name="Payment Status">
      <calculatedColumnFormula>IF(F2=0,"unpaid",IF(G2=0,"paid","partially paid"))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5DFD-9C02-4675-831B-4CAE3074DE10}">
  <dimension ref="A1:H12"/>
  <sheetViews>
    <sheetView tabSelected="1" workbookViewId="0">
      <selection activeCell="C12" sqref="C12"/>
    </sheetView>
  </sheetViews>
  <sheetFormatPr defaultRowHeight="14.5" x14ac:dyDescent="0.35"/>
  <cols>
    <col min="1" max="1" width="22.54296875" bestFit="1" customWidth="1"/>
    <col min="2" max="2" width="16.81640625" customWidth="1"/>
    <col min="3" max="3" width="15.453125" customWidth="1"/>
    <col min="4" max="4" width="18" customWidth="1"/>
    <col min="5" max="5" width="14" customWidth="1"/>
    <col min="6" max="6" width="18.08984375" customWidth="1"/>
    <col min="7" max="7" width="13.6328125" customWidth="1"/>
    <col min="8" max="8" width="1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17</v>
      </c>
      <c r="C2">
        <v>700000001</v>
      </c>
      <c r="D2" t="s">
        <v>18</v>
      </c>
      <c r="E2">
        <v>2500</v>
      </c>
      <c r="F2">
        <v>2500</v>
      </c>
      <c r="G2">
        <f>E2-F2</f>
        <v>0</v>
      </c>
      <c r="H2" t="str">
        <f>IF(F2=0,"unpaid",IF(G2=0,"paid","partially paid"))</f>
        <v>paid</v>
      </c>
    </row>
    <row r="3" spans="1:8" x14ac:dyDescent="0.35">
      <c r="A3" t="s">
        <v>9</v>
      </c>
      <c r="B3" t="s">
        <v>16</v>
      </c>
      <c r="C3">
        <v>700000002</v>
      </c>
      <c r="D3" t="s">
        <v>19</v>
      </c>
      <c r="E3">
        <v>800</v>
      </c>
      <c r="F3">
        <v>500</v>
      </c>
      <c r="G3">
        <f t="shared" ref="G3:G6" si="0">E3-F3</f>
        <v>300</v>
      </c>
      <c r="H3" t="str">
        <f t="shared" ref="H3:H6" si="1">IF(F3=0,"unpaid",IF(G3=0,"paid","partially paid"))</f>
        <v>partially paid</v>
      </c>
    </row>
    <row r="4" spans="1:8" x14ac:dyDescent="0.35">
      <c r="A4" t="s">
        <v>10</v>
      </c>
      <c r="B4" t="s">
        <v>15</v>
      </c>
      <c r="C4">
        <v>700000003</v>
      </c>
      <c r="D4" t="s">
        <v>20</v>
      </c>
      <c r="E4">
        <v>1200</v>
      </c>
      <c r="F4">
        <v>1200</v>
      </c>
      <c r="G4">
        <f t="shared" si="0"/>
        <v>0</v>
      </c>
      <c r="H4" t="str">
        <f t="shared" si="1"/>
        <v>paid</v>
      </c>
    </row>
    <row r="5" spans="1:8" x14ac:dyDescent="0.35">
      <c r="A5" t="s">
        <v>11</v>
      </c>
      <c r="B5" t="s">
        <v>14</v>
      </c>
      <c r="C5">
        <v>700000004</v>
      </c>
      <c r="D5" t="s">
        <v>21</v>
      </c>
      <c r="E5">
        <v>1500</v>
      </c>
      <c r="F5">
        <v>1000</v>
      </c>
      <c r="G5">
        <f t="shared" si="0"/>
        <v>500</v>
      </c>
      <c r="H5" t="str">
        <f t="shared" si="1"/>
        <v>partially paid</v>
      </c>
    </row>
    <row r="6" spans="1:8" x14ac:dyDescent="0.35">
      <c r="A6" t="s">
        <v>12</v>
      </c>
      <c r="B6" t="s">
        <v>13</v>
      </c>
      <c r="C6">
        <v>700000005</v>
      </c>
      <c r="D6" t="s">
        <v>22</v>
      </c>
      <c r="E6">
        <v>2000</v>
      </c>
      <c r="F6">
        <v>0</v>
      </c>
      <c r="G6">
        <f t="shared" si="0"/>
        <v>2000</v>
      </c>
      <c r="H6" t="str">
        <f t="shared" si="1"/>
        <v>unpaid</v>
      </c>
    </row>
    <row r="8" spans="1:8" x14ac:dyDescent="0.35">
      <c r="A8" s="1" t="s">
        <v>23</v>
      </c>
    </row>
    <row r="9" spans="1:8" x14ac:dyDescent="0.35">
      <c r="A9" t="s">
        <v>24</v>
      </c>
      <c r="B9">
        <f>SUM(E2:E6)</f>
        <v>8000</v>
      </c>
    </row>
    <row r="10" spans="1:8" x14ac:dyDescent="0.35">
      <c r="A10" t="s">
        <v>25</v>
      </c>
      <c r="B10">
        <f>SUM(F2:F6)</f>
        <v>5200</v>
      </c>
    </row>
    <row r="11" spans="1:8" x14ac:dyDescent="0.35">
      <c r="A11" t="s">
        <v>26</v>
      </c>
      <c r="B11">
        <f>SUM(G2:G6)</f>
        <v>2800</v>
      </c>
    </row>
    <row r="12" spans="1:8" x14ac:dyDescent="0.35">
      <c r="A12" t="s">
        <v>27</v>
      </c>
      <c r="B12">
        <f>COUNTA(A2:A6)</f>
        <v>5</v>
      </c>
    </row>
  </sheetData>
  <conditionalFormatting sqref="H2:H6">
    <cfRule type="containsText" dxfId="10" priority="6" operator="containsText" text="paid">
      <formula>NOT(ISERROR(SEARCH("paid",H2)))</formula>
    </cfRule>
    <cfRule type="containsText" dxfId="9" priority="5" operator="containsText" text="paid:=$H2=&quot;paid&quot;- green fill">
      <formula>NOT(ISERROR(SEARCH("paid:=$H2=""paid""- green fill",H2)))</formula>
    </cfRule>
    <cfRule type="containsText" dxfId="8" priority="4" operator="containsText" text="paid: = $h2=&quot;paid&quot; - green fill . Partially paid: =$h2=&quot;partially paid&quot; - yellow fill . Unpaid: = $h2= &quot;unpaid&quot; - red fill">
      <formula>NOT(ISERROR(SEARCH("paid: = $h2=""paid"" - green fill . Partially paid: =$h2=""partially paid"" - yellow fill . Unpaid: = $h2= ""unpaid"" - red fill",H2)))</formula>
    </cfRule>
  </conditionalFormatting>
  <conditionalFormatting sqref="H3">
    <cfRule type="containsText" dxfId="7" priority="3" operator="containsText" text="partially paid">
      <formula>NOT(ISERROR(SEARCH("partially paid",H3)))</formula>
    </cfRule>
  </conditionalFormatting>
  <conditionalFormatting sqref="H5">
    <cfRule type="containsText" dxfId="6" priority="2" operator="containsText" text="partially paid">
      <formula>NOT(ISERROR(SEARCH("partially paid",H5)))</formula>
    </cfRule>
  </conditionalFormatting>
  <conditionalFormatting sqref="H6">
    <cfRule type="containsText" dxfId="0" priority="1" operator="containsText" text="unpaid">
      <formula>NOT(ISERROR(SEARCH("unpaid",H6)))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</dc:creator>
  <cp:lastModifiedBy>samoyanoel96@gmail.com</cp:lastModifiedBy>
  <dcterms:created xsi:type="dcterms:W3CDTF">2026-10-29T10:56:44Z</dcterms:created>
  <dcterms:modified xsi:type="dcterms:W3CDTF">2026-10-29T11:49:38Z</dcterms:modified>
</cp:coreProperties>
</file>